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xampp\htdocs\Mypage\Excel_ODBC\"/>
    </mc:Choice>
  </mc:AlternateContent>
  <xr:revisionPtr revIDLastSave="0" documentId="8_{D11331C4-5AB3-498C-91E1-28693074A154}" xr6:coauthVersionLast="47" xr6:coauthVersionMax="47" xr10:uidLastSave="{00000000-0000-0000-0000-000000000000}"/>
  <bookViews>
    <workbookView xWindow="-120" yWindow="-120" windowWidth="20730" windowHeight="11160" activeTab="3" xr2:uid="{6EC9C780-4810-4BB5-88ED-07BE26BDC5AF}"/>
  </bookViews>
  <sheets>
    <sheet name="dental_payments" sheetId="2" r:id="rId1"/>
    <sheet name="patients" sheetId="3" r:id="rId2"/>
    <sheet name="Pivot" sheetId="1" r:id="rId3"/>
    <sheet name="Graphical Report" sheetId="4" r:id="rId4"/>
  </sheets>
  <definedNames>
    <definedName name="ExternalData_1" localSheetId="0" hidden="1">dental_payments!$A$1:$L$5</definedName>
    <definedName name="ExternalData_1" localSheetId="1" hidden="1">patients!$A$1:$I$4</definedName>
    <definedName name="Slicer_patient_id">#N/A</definedName>
    <definedName name="Slicer_payment_type">#N/A</definedName>
    <definedName name="Slicer_tx_datetime">#N/A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57DF4A-6990-43A9-A17D-CDE0E0D65127}" keepAlive="1" name="Query - dental_payments" description="Connection to the 'dental_payments' query in the workbook." type="5" refreshedVersion="8" background="1" saveData="1">
    <dbPr connection="Provider=Microsoft.Mashup.OleDb.1;Data Source=$Workbook$;Location=dental_payments;Extended Properties=&quot;&quot;" command="SELECT * FROM [dental_payments]"/>
  </connection>
  <connection id="2" xr16:uid="{14E6F373-B3B2-4FDA-8428-E22CD9CB174F}"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s>
</file>

<file path=xl/sharedStrings.xml><?xml version="1.0" encoding="utf-8"?>
<sst xmlns="http://schemas.openxmlformats.org/spreadsheetml/2006/main" count="72" uniqueCount="55">
  <si>
    <t>id</t>
  </si>
  <si>
    <t>patient_id</t>
  </si>
  <si>
    <t>service</t>
  </si>
  <si>
    <t>total_due</t>
  </si>
  <si>
    <t>amount_given</t>
  </si>
  <si>
    <t>change_amount</t>
  </si>
  <si>
    <t>payment_type</t>
  </si>
  <si>
    <t>tx_datetime</t>
  </si>
  <si>
    <t>reference</t>
  </si>
  <si>
    <t>note</t>
  </si>
  <si>
    <t>created_at</t>
  </si>
  <si>
    <t>updated_at</t>
  </si>
  <si>
    <t>Cleaning</t>
  </si>
  <si>
    <t>Card</t>
  </si>
  <si>
    <t>PAY-20251210141239-786e2</t>
  </si>
  <si>
    <t/>
  </si>
  <si>
    <t>Consultation</t>
  </si>
  <si>
    <t>Cash</t>
  </si>
  <si>
    <t>PAY-20251210141338-beac8</t>
  </si>
  <si>
    <t>name</t>
  </si>
  <si>
    <t>email</t>
  </si>
  <si>
    <t>password</t>
  </si>
  <si>
    <t>address</t>
  </si>
  <si>
    <t>city</t>
  </si>
  <si>
    <t>state</t>
  </si>
  <si>
    <t>zip</t>
  </si>
  <si>
    <t>Baloro</t>
  </si>
  <si>
    <t>asda@gmail.com</t>
  </si>
  <si>
    <t>$2y$10$amRHQHsvzYddrnFK6anji.Q3SujS4PSlmp0g/ZFdxkrFTQcUlzvRW</t>
  </si>
  <si>
    <t>Zone 3 Balubal</t>
  </si>
  <si>
    <t>Cagayan De Oro</t>
  </si>
  <si>
    <t>Philippines</t>
  </si>
  <si>
    <t>9000</t>
  </si>
  <si>
    <t>Ivan Louiz Gonzales</t>
  </si>
  <si>
    <t>ivma.gonzales.coc@phinmaed.com</t>
  </si>
  <si>
    <t>$2y$10$jDTrVQkJxlSkIEoe/WTF/e5PG7b10KaVYw/3ggxXzHSN9E79OPsDu</t>
  </si>
  <si>
    <t>Zone 3 Upper Agusan</t>
  </si>
  <si>
    <t>Cagayan de Oro</t>
  </si>
  <si>
    <t>KC JOY ASNE</t>
  </si>
  <si>
    <t>kcjoy@gmail.com</t>
  </si>
  <si>
    <t>$2y$10$1bQmNcXZG6ZkZcqyvq5JRejQFbiZO/DSAlNazKHuGpldbJNQYXt5u</t>
  </si>
  <si>
    <t>Zone 9 Cugman</t>
  </si>
  <si>
    <t>Grand Total</t>
  </si>
  <si>
    <t>Mode Of Payment</t>
  </si>
  <si>
    <t>Sum</t>
  </si>
  <si>
    <t>Sum of Paid</t>
  </si>
  <si>
    <t>Patient ID</t>
  </si>
  <si>
    <t>2 pm</t>
  </si>
  <si>
    <t>Sum of Sales</t>
  </si>
  <si>
    <t>Date Time</t>
  </si>
  <si>
    <t>Filling</t>
  </si>
  <si>
    <t>PAY-20251210144252-b3147</t>
  </si>
  <si>
    <t>8 pm</t>
  </si>
  <si>
    <t>PAY-20251210144427-8fc62</t>
  </si>
  <si>
    <t>5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</si>
</sst>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5">
    <dxf>
      <numFmt numFmtId="27" formatCode="dd/mm/yyyy\ h:mm"/>
    </dxf>
    <dxf>
      <numFmt numFmtId="27" formatCode="dd/mm/yyyy\ h:mm"/>
    </dxf>
    <dxf>
      <numFmt numFmtId="0" formatCode="General"/>
    </dxf>
    <dxf>
      <numFmt numFmtId="0" formatCode="General"/>
    </dxf>
    <dxf>
      <numFmt numFmtId="27" formatCode="dd/mm/yyyy\ h:mm"/>
    </dxf>
    <dxf>
      <numFmt numFmtId="0" formatCode="General"/>
    </dxf>
    <dxf>
      <numFmt numFmtId="0" formatCode="General"/>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[EXCEL_ODBC_GONZALES.xlsx]Pivot!PivotTable3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Transactions</a:t>
            </a:r>
            <a:r>
              <a:rPr lang="en-US" baseline="0"/>
              <a:t> Per Mode Of Payment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Pivot!$F$1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CC-44FA-B76A-11ECD2B69A6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CC-44FA-B76A-11ECD2B69A6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Pivot!$E$2:$E$4</c:f>
              <c:strCache>
                <c:ptCount val="2"/>
                <c:pt idx="0">
                  <c:v>Card</c:v>
                </c:pt>
                <c:pt idx="1">
                  <c:v>Cash</c:v>
                </c:pt>
              </c:strCache>
            </c:strRef>
          </c:cat>
          <c:val>
            <c:numRef>
              <c:f>Pivot!$F$2:$F$4</c:f>
              <c:numCache>
                <c:formatCode>General</c:formatCode>
                <c:ptCount val="2"/>
                <c:pt idx="0">
                  <c:v>2500</c:v>
                </c:pt>
                <c:pt idx="1">
                  <c:v>15500</c:v>
                </c:pt>
              </c:numCache>
            </c:numRef>
          </c:val>
          <c:extLst>
            <c:ext xmlns:c16="http://schemas.microsoft.com/office/drawing/2014/chart" uri="{C3380CC4-5D6E-409C-BE32-E72D297353CC}">
              <c16:uniqueId val="{00000004-C4CC-44FA-B76A-11ECD2B69A6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[EXCEL_ODBC_GONZALES.xlsx]Pivot!PivotTable4</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per date/hour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Pivot!$H$2:$H$5</c:f>
              <c:strCache>
                <c:ptCount val="3"/>
                <c:pt idx="0">
                  <c:v>2 pm</c:v>
                </c:pt>
                <c:pt idx="1">
                  <c:v>5 pm</c:v>
                </c:pt>
                <c:pt idx="2">
                  <c:v>8 pm</c:v>
                </c:pt>
              </c:strCache>
            </c:strRef>
          </c:cat>
          <c:val>
            <c:numRef>
              <c:f>Pivot!$I$2:$I$5</c:f>
              <c:numCache>
                <c:formatCode>General</c:formatCode>
                <c:ptCount val="3"/>
                <c:pt idx="0">
                  <c:v>1000</c:v>
                </c:pt>
                <c:pt idx="1">
                  <c:v>15000</c:v>
                </c:pt>
                <c:pt idx="2">
                  <c:v>2000</c:v>
                </c:pt>
              </c:numCache>
            </c:numRef>
          </c:val>
          <c:smooth val="0"/>
          <c:extLst>
            <c:ext xmlns:c16="http://schemas.microsoft.com/office/drawing/2014/chart" uri="{C3380CC4-5D6E-409C-BE32-E72D297353CC}">
              <c16:uniqueId val="{00000000-0A7D-4821-B6B3-7390F90D5377}"/>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81579967"/>
        <c:axId val="1381581887"/>
      </c:lineChart>
      <c:catAx>
        <c:axId val="138157996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81581887"/>
        <c:crosses val="autoZero"/>
        <c:auto val="1"/>
        <c:lblAlgn val="ctr"/>
        <c:lblOffset val="100"/>
        <c:noMultiLvlLbl val="0"/>
      </c:catAx>
      <c:valAx>
        <c:axId val="1381581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157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[EXCEL_ODBC_GONZALES.xlsx]Pivot!PivotTable2</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Sales per patient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Pivot!$C$1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Pivot!$B$2:$B$4</c:f>
              <c:strCache>
                <c:ptCount val="2"/>
                <c:pt idx="0">
                  <c:v>2</c:v>
                </c:pt>
                <c:pt idx="1">
                  <c:v>3</c:v>
                </c:pt>
              </c:strCache>
            </c:strRef>
          </c:cat>
          <c:val>
            <c:numRef>
              <c:f>Pivot!$C$2:$C$4</c:f>
              <c:numCache>
                <c:formatCode>General</c:formatCode>
                <c:ptCount val="2"/>
                <c:pt idx="0">
                  <c:v>3000</c:v>
                </c:pt>
                <c:pt idx="1">
                  <c:v>15000</c:v>
                </c:pt>
              </c:numCache>
            </c:numRef>
          </c:val>
          <c:extLst>
            <c:ext xmlns:c16="http://schemas.microsoft.com/office/drawing/2014/chart" uri="{C3380CC4-5D6E-409C-BE32-E72D297353CC}">
              <c16:uniqueId val="{00000000-FC94-41F0-83CC-78D2AD50EC73}"/>
            </c:ext>
          </c:extLst>
        </c:ser>
        <c:dLbls>
          <c:showLegendKey val="0"/>
          <c:showVal val="1"/>
          <c:showCatName val="0"/>
          <c:showSerName val="0"/>
          <c:showPercent val="0"/>
          <c:showBubbleSize val="0"/>
        </c:dLbls>
        <c:gapWidth val="84"/>
        <c:gapDepth val="53"/>
        <c:shape val="box"/>
        <c:axId val="1290104047"/>
        <c:axId val="1290105487"/>
        <c:axId val="0"/>
      </c:bar3DChart>
      <c:catAx>
        <c:axId val="1290104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0105487"/>
        <c:crosses val="autoZero"/>
        <c:auto val="1"/>
        <c:lblAlgn val="ctr"/>
        <c:lblOffset val="100"/>
        <c:noMultiLvlLbl val="0"/>
      </c:catAx>
      <c:valAx>
        <c:axId val="1290105487"/>
        <c:scaling>
          <c:orientation val="minMax"/>
        </c:scaling>
        <c:delete val="1"/>
        <c:axPos val="b"/>
        <c:numFmt formatCode="General" sourceLinked="1"/>
        <c:majorTickMark val="out"/>
        <c:minorTickMark val="none"/>
        <c:tickLblPos val="nextTo"/>
        <c:crossAx val="129010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123825</xdr:colOff>
      <xdr:row>14</xdr:row>
      <xdr:rowOff>76200</xdr:rowOff>
    </xdr:to>
    <xdr:graphicFrame macro="">
      <xdr:nvGraphicFramePr>
        <xdr:cNvPr id="2" name="Chart 1">
          <a:extLst>
            <a:ext uri="{FF2B5EF4-FFF2-40B4-BE49-F238E27FC236}">
              <a16:creationId xmlns:a16="http://schemas.microsoft.com/office/drawing/2014/main" id="{CDF45465-B38D-45B9-BA95-6FC7F03CF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123825</xdr:colOff>
      <xdr:row>0</xdr:row>
      <xdr:rowOff>0</xdr:rowOff>
    </xdr:from>
    <xdr:to>
      <xdr:col>15</xdr:col>
      <xdr:colOff>257175</xdr:colOff>
      <xdr:row>14</xdr:row>
      <xdr:rowOff>76200</xdr:rowOff>
    </xdr:to>
    <xdr:graphicFrame macro="">
      <xdr:nvGraphicFramePr>
        <xdr:cNvPr id="3" name="Chart 2">
          <a:extLst>
            <a:ext uri="{FF2B5EF4-FFF2-40B4-BE49-F238E27FC236}">
              <a16:creationId xmlns:a16="http://schemas.microsoft.com/office/drawing/2014/main" id="{5BBF3CB9-4D99-41D1-9911-170449F8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108857</xdr:rowOff>
    </xdr:from>
    <xdr:to>
      <xdr:col>7</xdr:col>
      <xdr:colOff>304800</xdr:colOff>
      <xdr:row>28</xdr:row>
      <xdr:rowOff>185057</xdr:rowOff>
    </xdr:to>
    <xdr:graphicFrame macro="">
      <xdr:nvGraphicFramePr>
        <xdr:cNvPr id="4" name="Chart 3">
          <a:extLst>
            <a:ext uri="{FF2B5EF4-FFF2-40B4-BE49-F238E27FC236}">
              <a16:creationId xmlns:a16="http://schemas.microsoft.com/office/drawing/2014/main" id="{2742FFDD-78AE-44BE-9220-128641AFA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295835</xdr:colOff>
      <xdr:row>14</xdr:row>
      <xdr:rowOff>138393</xdr:rowOff>
    </xdr:from>
    <xdr:to>
      <xdr:col>10</xdr:col>
      <xdr:colOff>309283</xdr:colOff>
      <xdr:row>27</xdr:row>
      <xdr:rowOff>186018</xdr:rowOff>
    </xdr:to>
    <mc:AlternateContent xmlns:mc="http://schemas.openxmlformats.org/markup-compatibility/2006">
      <mc:Choice xmlns:a14="http://schemas.microsoft.com/office/drawing/2010/main" Requires="a14">
        <xdr:graphicFrame macro="">
          <xdr:nvGraphicFramePr>
            <xdr:cNvPr id="5" name="patient_id">
              <a:extLst>
                <a:ext uri="{FF2B5EF4-FFF2-40B4-BE49-F238E27FC236}">
                  <a16:creationId xmlns:a16="http://schemas.microsoft.com/office/drawing/2014/main" id="{576635B3-E5F8-5C43-5BD8-DA6EAC80F1A3}"/>
                </a:ext>
              </a:extLst>
            </xdr:cNvPr>
            <xdr:cNvGraphicFramePr/>
          </xdr:nvGraphicFramePr>
          <xdr:xfrm>
            <a:off x="0" y="0"/>
            <a:ext cx="0" cy="0"/>
          </xdr:xfrm>
          <a:graphic>
            <a:graphicData uri="http://schemas.microsoft.com/office/drawing/2010/slicer">
              <sle:slicer xmlns:sle="http://schemas.microsoft.com/office/drawing/2010/slicer" name="patient_id"/>
            </a:graphicData>
          </a:graphic>
        </xdr:graphicFrame>
      </mc:Choice>
      <mc:Fallback>
        <xdr:sp macro="" textlink="">
          <xdr:nvSpPr>
            <xdr:cNvPr id="0" name=""/>
            <xdr:cNvSpPr>
              <a:spLocks noTextEdit="1"/>
            </xdr:cNvSpPr>
          </xdr:nvSpPr>
          <xdr:spPr>
            <a:xfrm>
              <a:off x="4531659" y="2805393"/>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290232</xdr:colOff>
      <xdr:row>14</xdr:row>
      <xdr:rowOff>87966</xdr:rowOff>
    </xdr:from>
    <xdr:to>
      <xdr:col>13</xdr:col>
      <xdr:colOff>303679</xdr:colOff>
      <xdr:row>27</xdr:row>
      <xdr:rowOff>135591</xdr:rowOff>
    </xdr:to>
    <mc:AlternateContent xmlns:mc="http://schemas.openxmlformats.org/markup-compatibility/2006">
      <mc:Choice xmlns:a14="http://schemas.microsoft.com/office/drawing/2010/main" Requires="a14">
        <xdr:graphicFrame macro="">
          <xdr:nvGraphicFramePr>
            <xdr:cNvPr id="6" name="payment_type">
              <a:extLst>
                <a:ext uri="{FF2B5EF4-FFF2-40B4-BE49-F238E27FC236}">
                  <a16:creationId xmlns:a16="http://schemas.microsoft.com/office/drawing/2014/main" id="{CF624391-F72D-1E7D-050B-DBDD2690A438}"/>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6341408" y="2754966"/>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307042</xdr:colOff>
      <xdr:row>14</xdr:row>
      <xdr:rowOff>93569</xdr:rowOff>
    </xdr:from>
    <xdr:to>
      <xdr:col>16</xdr:col>
      <xdr:colOff>320489</xdr:colOff>
      <xdr:row>27</xdr:row>
      <xdr:rowOff>141194</xdr:rowOff>
    </xdr:to>
    <mc:AlternateContent xmlns:mc="http://schemas.openxmlformats.org/markup-compatibility/2006">
      <mc:Choice xmlns:a14="http://schemas.microsoft.com/office/drawing/2010/main" Requires="a14">
        <xdr:graphicFrame macro="">
          <xdr:nvGraphicFramePr>
            <xdr:cNvPr id="7" name="tx_datetime">
              <a:extLst>
                <a:ext uri="{FF2B5EF4-FFF2-40B4-BE49-F238E27FC236}">
                  <a16:creationId xmlns:a16="http://schemas.microsoft.com/office/drawing/2014/main" id="{9CABA149-F73A-326F-5F4F-50913A936562}"/>
                </a:ext>
              </a:extLst>
            </xdr:cNvPr>
            <xdr:cNvGraphicFramePr/>
          </xdr:nvGraphicFramePr>
          <xdr:xfrm>
            <a:off x="0" y="0"/>
            <a:ext cx="0" cy="0"/>
          </xdr:xfrm>
          <a:graphic>
            <a:graphicData uri="http://schemas.microsoft.com/office/drawing/2010/slicer">
              <sle:slicer xmlns:sle="http://schemas.microsoft.com/office/drawing/2010/slicer" name="tx_datetime"/>
            </a:graphicData>
          </a:graphic>
        </xdr:graphicFrame>
      </mc:Choice>
      <mc:Fallback>
        <xdr:sp macro="" textlink="">
          <xdr:nvSpPr>
            <xdr:cNvPr id="0" name=""/>
            <xdr:cNvSpPr>
              <a:spLocks noTextEdit="1"/>
            </xdr:cNvSpPr>
          </xdr:nvSpPr>
          <xdr:spPr>
            <a:xfrm>
              <a:off x="8173571" y="2760569"/>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louiz gonzales" refreshedDate="46001.90617696759" createdVersion="8" refreshedVersion="8" minRefreshableVersion="3" recordCount="4" xr:uid="{AA26DC18-6860-4ECE-AE5C-0B88AF2F839E}">
  <cacheSource type="worksheet">
    <worksheetSource name="dental_payments"/>
  </cacheSource>
  <cacheFields count="14">
    <cacheField name="id" numFmtId="0">
      <sharedItems containsSemiMixedTypes="0" containsString="0" containsNumber="1" containsInteger="1" minValue="1" maxValue="4"/>
    </cacheField>
    <cacheField name="patient_id" numFmtId="0">
      <sharedItems containsSemiMixedTypes="0" containsString="0" containsNumber="1" containsInteger="1" minValue="2" maxValue="3" count="2">
        <n v="2"/>
        <n v="3"/>
      </sharedItems>
    </cacheField>
    <cacheField name="service" numFmtId="0">
      <sharedItems/>
    </cacheField>
    <cacheField name="total_due" numFmtId="0">
      <sharedItems containsSemiMixedTypes="0" containsString="0" containsNumber="1" containsInteger="1" minValue="500" maxValue="15000"/>
    </cacheField>
    <cacheField name="amount_given" numFmtId="0">
      <sharedItems containsSemiMixedTypes="0" containsString="0" containsNumber="1" containsInteger="1" minValue="500" maxValue="15000"/>
    </cacheField>
    <cacheField name="change_amount" numFmtId="0">
      <sharedItems containsSemiMixedTypes="0" containsString="0" containsNumber="1" containsInteger="1" minValue="0" maxValue="500"/>
    </cacheField>
    <cacheField name="payment_type" numFmtId="0">
      <sharedItems count="2">
        <s v="Card"/>
        <s v="Cash"/>
      </sharedItems>
    </cacheField>
    <cacheField name="tx_datetime" numFmtId="22">
      <sharedItems containsSemiMixedTypes="0" containsNonDate="0" containsDate="1" containsString="0" minDate="2025-10-10T17:48:00" maxDate="2025-12-10T14:12:00" count="4">
        <d v="2025-12-10T14:09:00"/>
        <d v="2025-12-10T14:12:00"/>
        <d v="2025-11-10T20:16:00"/>
        <d v="2025-10-10T17:48:00"/>
      </sharedItems>
      <fieldGroup par="13"/>
    </cacheField>
    <cacheField name="reference" numFmtId="0">
      <sharedItems/>
    </cacheField>
    <cacheField name="note" numFmtId="0">
      <sharedItems/>
    </cacheField>
    <cacheField name="created_at" numFmtId="22">
      <sharedItems containsSemiMixedTypes="0" containsNonDate="0" containsDate="1" containsString="0" minDate="2025-12-10T21:12:39" maxDate="2025-12-10T21:44:27"/>
    </cacheField>
    <cacheField name="updated_at" numFmtId="22">
      <sharedItems containsNonDate="0" containsString="0" containsBlank="1"/>
    </cacheField>
    <cacheField name="Minutes (tx_datetime)" numFmtId="0" databaseField="0">
      <fieldGroup base="7">
        <rangePr groupBy="minutes" startDate="2025-10-10T17:48:00" endDate="2025-12-10T14:12:00"/>
        <groupItems count="62">
          <s v="&lt;10/10/2025"/>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2/2025"/>
        </groupItems>
      </fieldGroup>
    </cacheField>
    <cacheField name="Hours (tx_datetime)" numFmtId="0" databaseField="0">
      <fieldGroup base="7">
        <rangePr groupBy="hours" startDate="2025-10-10T17:48:00" endDate="2025-12-10T14:12:00"/>
        <groupItems count="26">
          <s v="&lt;10/10/2025"/>
          <s v="12 am"/>
          <s v="1 am"/>
          <s v="2 am"/>
          <s v="3 am"/>
          <s v="4 am"/>
          <s v="5 am"/>
          <s v="6 am"/>
          <s v="7 am"/>
          <s v="8 am"/>
          <s v="9 am"/>
          <s v="10 am"/>
          <s v="11 am"/>
          <s v="12 pm"/>
          <s v="1 pm"/>
          <s v="2 pm"/>
          <s v="3 pm"/>
          <s v="4 pm"/>
          <s v="5 pm"/>
          <s v="6 pm"/>
          <s v="7 pm"/>
          <s v="8 pm"/>
          <s v="9 pm"/>
          <s v="10 pm"/>
          <s v="11 pm"/>
          <s v="&gt;10/12/2025"/>
        </groupItems>
      </fieldGroup>
    </cacheField>
  </cacheFields>
  <extLst>
    <ext xmlns:x14="http://schemas.microsoft.com/office/spreadsheetml/2009/9/main" uri="{725AE2AE-9491-48be-B2B4-4EB974FC3084}">
      <x14:pivotCacheDefinition pivotCacheId="3409539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n v="1"/>
    <x v="0"/>
    <s v="Cleaning"/>
    <n v="500"/>
    <n v="1000"/>
    <n v="500"/>
    <x v="0"/>
    <x v="0"/>
    <s v="PAY-20251210141239-786e2"/>
    <s v=""/>
    <d v="2025-12-10T21:12:39"/>
    <m/>
  </r>
  <r>
    <n v="2"/>
    <x v="0"/>
    <s v="Consultation"/>
    <n v="500"/>
    <n v="500"/>
    <n v="0"/>
    <x v="1"/>
    <x v="1"/>
    <s v="PAY-20251210141338-beac8"/>
    <s v=""/>
    <d v="2025-12-10T21:13:38"/>
    <m/>
  </r>
  <r>
    <n v="3"/>
    <x v="0"/>
    <s v="Filling"/>
    <n v="2000"/>
    <n v="2000"/>
    <n v="0"/>
    <x v="0"/>
    <x v="2"/>
    <s v="PAY-20251210144252-b3147"/>
    <s v=""/>
    <d v="2025-12-10T21:42:52"/>
    <m/>
  </r>
  <r>
    <n v="4"/>
    <x v="1"/>
    <s v="Consultation"/>
    <n v="15000"/>
    <n v="15000"/>
    <n v="0"/>
    <x v="1"/>
    <x v="3"/>
    <s v="PAY-20251210144427-8fc62"/>
    <s v=""/>
    <d v="2025-12-10T21:44:2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4700E-CA1D-4BF7-8B72-EDE0AF712EDB}"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ate Time">
  <location ref="H1:I5" firstHeaderRow="1" firstDataRow="1" firstDataCol="1"/>
  <pivotFields count="14">
    <pivotField showAll="0"/>
    <pivotField showAll="0">
      <items count="3">
        <item x="0"/>
        <item x="1"/>
        <item t="default"/>
      </items>
    </pivotField>
    <pivotField showAll="0"/>
    <pivotField dataField="1" showAll="0"/>
    <pivotField showAll="0"/>
    <pivotField showAll="0"/>
    <pivotField showAll="0">
      <items count="3">
        <item x="0"/>
        <item x="1"/>
        <item t="default"/>
      </items>
    </pivotField>
    <pivotField axis="axisRow" numFmtId="22" showAll="0">
      <items count="5">
        <item x="0"/>
        <item x="1"/>
        <item x="2"/>
        <item x="3"/>
        <item t="default"/>
      </items>
    </pivotField>
    <pivotField showAll="0"/>
    <pivotField showAll="0"/>
    <pivotField numFmtId="22" showAll="0"/>
    <pivotField showAll="0"/>
    <pivotField axis="axisRow"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x="0"/>
        <item t="default"/>
      </items>
    </pivotField>
    <pivotField axis="axisRow" showAll="0">
      <items count="27">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x="0"/>
        <item t="default"/>
      </items>
    </pivotField>
  </pivotFields>
  <rowFields count="3">
    <field x="13"/>
    <field x="12"/>
    <field x="7"/>
  </rowFields>
  <rowItems count="4">
    <i>
      <x v="14"/>
    </i>
    <i>
      <x v="17"/>
    </i>
    <i>
      <x v="20"/>
    </i>
    <i t="grand">
      <x/>
    </i>
  </rowItems>
  <colItems count="1">
    <i/>
  </colItems>
  <dataFields count="1">
    <dataField name="Sum of Sales" fld="3" baseField="13" baseItem="15"/>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60E34-2B7C-4C74-9D99-C853FEEAF252}"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de Of Payment">
  <location ref="E1:F4" firstHeaderRow="1" firstDataRow="1" firstDataCol="1"/>
  <pivotFields count="14">
    <pivotField showAll="0"/>
    <pivotField showAll="0">
      <items count="3">
        <item x="0"/>
        <item x="1"/>
        <item t="default"/>
      </items>
    </pivotField>
    <pivotField showAll="0"/>
    <pivotField dataField="1" showAll="0"/>
    <pivotField showAll="0"/>
    <pivotField showAll="0"/>
    <pivotField axis="axisRow" showAll="0">
      <items count="3">
        <item x="0"/>
        <item x="1"/>
        <item t="default"/>
      </items>
    </pivotField>
    <pivotField numFmtId="22" showAll="0">
      <items count="5">
        <item x="0"/>
        <item x="1"/>
        <item x="2"/>
        <item x="3"/>
        <item t="default"/>
      </items>
    </pivotField>
    <pivotField showAll="0"/>
    <pivotField showAll="0"/>
    <pivotField numFmtId="22" showAll="0"/>
    <pivotField showAl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0"/>
        <item t="default"/>
      </items>
    </pivotField>
    <pivotField showAll="0">
      <items count="27">
        <item x="1"/>
        <item x="2"/>
        <item x="3"/>
        <item x="4"/>
        <item x="5"/>
        <item x="6"/>
        <item x="7"/>
        <item x="8"/>
        <item x="9"/>
        <item x="10"/>
        <item x="11"/>
        <item x="12"/>
        <item x="13"/>
        <item x="14"/>
        <item x="15"/>
        <item x="16"/>
        <item x="17"/>
        <item x="18"/>
        <item x="19"/>
        <item x="20"/>
        <item x="21"/>
        <item x="22"/>
        <item x="23"/>
        <item x="24"/>
        <item x="25"/>
        <item x="0"/>
        <item t="default"/>
      </items>
    </pivotField>
  </pivotFields>
  <rowFields count="1">
    <field x="6"/>
  </rowFields>
  <rowItems count="3">
    <i>
      <x/>
    </i>
    <i>
      <x v="1"/>
    </i>
    <i t="grand">
      <x/>
    </i>
  </rowItems>
  <colItems count="1">
    <i/>
  </colItems>
  <dataFields count="1">
    <dataField name="Sum" fld="3" baseField="6" baseItem="0"/>
  </dataField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4CAABD-51CB-4D96-9EBC-94E68D9D6D37}"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tient ID">
  <location ref="B1:C4" firstHeaderRow="1" firstDataRow="1" firstDataCol="1"/>
  <pivotFields count="14">
    <pivotField showAll="0"/>
    <pivotField axis="axisRow" showAll="0">
      <items count="3">
        <item x="0"/>
        <item x="1"/>
        <item t="default"/>
      </items>
    </pivotField>
    <pivotField showAll="0"/>
    <pivotField dataField="1" showAll="0"/>
    <pivotField showAll="0"/>
    <pivotField showAll="0"/>
    <pivotField showAll="0">
      <items count="3">
        <item x="0"/>
        <item x="1"/>
        <item t="default"/>
      </items>
    </pivotField>
    <pivotField numFmtId="22" showAll="0">
      <items count="5">
        <item x="0"/>
        <item x="1"/>
        <item x="2"/>
        <item x="3"/>
        <item t="default"/>
      </items>
    </pivotField>
    <pivotField showAll="0"/>
    <pivotField showAll="0"/>
    <pivotField numFmtId="22" showAll="0"/>
    <pivotField showAl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0"/>
        <item t="default"/>
      </items>
    </pivotField>
    <pivotField showAll="0">
      <items count="27">
        <item x="1"/>
        <item x="2"/>
        <item x="3"/>
        <item x="4"/>
        <item x="5"/>
        <item x="6"/>
        <item x="7"/>
        <item x="8"/>
        <item x="9"/>
        <item x="10"/>
        <item x="11"/>
        <item x="12"/>
        <item x="13"/>
        <item x="14"/>
        <item x="15"/>
        <item x="16"/>
        <item x="17"/>
        <item x="18"/>
        <item x="19"/>
        <item x="20"/>
        <item x="21"/>
        <item x="22"/>
        <item x="23"/>
        <item x="24"/>
        <item x="25"/>
        <item x="0"/>
        <item t="default"/>
      </items>
    </pivotField>
  </pivotFields>
  <rowFields count="1">
    <field x="1"/>
  </rowFields>
  <rowItems count="3">
    <i>
      <x/>
    </i>
    <i>
      <x v="1"/>
    </i>
    <i t="grand">
      <x/>
    </i>
  </rowItems>
  <colItems count="1">
    <i/>
  </colItems>
  <dataFields count="1">
    <dataField name="Sum of Paid" fld="3"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02B0A0-20AB-43E4-8883-57F9951CE5B5}" autoFormatId="16" applyNumberFormats="0" applyBorderFormats="0" applyFontFormats="0" applyPatternFormats="0" applyAlignmentFormats="0" applyWidthHeightFormats="0">
  <queryTableRefresh nextId="13">
    <queryTableFields count="12">
      <queryTableField id="1" name="id" tableColumnId="1"/>
      <queryTableField id="2" name="patient_id" tableColumnId="2"/>
      <queryTableField id="3" name="service" tableColumnId="3"/>
      <queryTableField id="4" name="total_due" tableColumnId="4"/>
      <queryTableField id="5" name="amount_given" tableColumnId="5"/>
      <queryTableField id="6" name="change_amount" tableColumnId="6"/>
      <queryTableField id="7" name="payment_type" tableColumnId="7"/>
      <queryTableField id="8" name="tx_datetime" tableColumnId="8"/>
      <queryTableField id="9" name="reference" tableColumnId="9"/>
      <queryTableField id="10" name="note" tableColumnId="10"/>
      <queryTableField id="11" name="created_at" tableColumnId="11"/>
      <queryTableField id="12" name="updated_at"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888F7E5-4212-4FAB-AC60-3504EF66474E}" autoFormatId="16" applyNumberFormats="0" applyBorderFormats="0" applyFontFormats="0" applyPatternFormats="0" applyAlignmentFormats="0" applyWidthHeightFormats="0">
  <queryTableRefresh nextId="10">
    <queryTableFields count="9">
      <queryTableField id="1" name="id" tableColumnId="1"/>
      <queryTableField id="2" name="name" tableColumnId="2"/>
      <queryTableField id="3" name="email" tableColumnId="3"/>
      <queryTableField id="4" name="password" tableColumnId="4"/>
      <queryTableField id="5" name="address" tableColumnId="5"/>
      <queryTableField id="6" name="city" tableColumnId="6"/>
      <queryTableField id="7" name="state" tableColumnId="7"/>
      <queryTableField id="8" name="zip" tableColumnId="8"/>
      <queryTableField id="9" name="created_a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09C71AFE-8669-492C-AF69-128629C05EA5}" sourceName="patient_id">
  <pivotTables>
    <pivotTable tabId="1" name="PivotTable3"/>
    <pivotTable tabId="1" name="PivotTable2"/>
    <pivotTable tabId="1" name="PivotTable4"/>
  </pivotTables>
  <data>
    <tabular pivotCacheId="3409539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A9DC7C4F-C7A1-4ACD-923F-5D99D50CF3D4}" sourceName="payment_type">
  <pivotTables>
    <pivotTable tabId="1" name="PivotTable3"/>
    <pivotTable tabId="1" name="PivotTable2"/>
    <pivotTable tabId="1" name="PivotTable4"/>
  </pivotTables>
  <data>
    <tabular pivotCacheId="34095399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x_datetime" xr10:uid="{BCA6899E-AD90-4C5D-89F5-9165B13F44EF}" sourceName="tx_datetime">
  <pivotTables>
    <pivotTable tabId="1" name="PivotTable3"/>
    <pivotTable tabId="1" name="PivotTable2"/>
    <pivotTable tabId="1" name="PivotTable4"/>
  </pivotTables>
  <data>
    <tabular pivotCacheId="340953995">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_id" xr10:uid="{737A94DF-C696-407F-900A-D5CD1F0EF744}" cache="Slicer_patient_id" caption="patient_id" rowHeight="241300"/>
  <slicer name="payment_type" xr10:uid="{BF7849A6-4275-49C3-863F-C578DBDE0D43}" cache="Slicer_payment_type" caption="payment_type" rowHeight="241300"/>
  <slicer name="tx_datetime" xr10:uid="{C943487A-EE0F-4241-922A-90E0903197E4}" cache="Slicer_tx_datetime" caption="tx_datetim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1DDFBB-D9A5-4777-B88D-69DA10A51C5C}" name="dental_payments" displayName="dental_payments" ref="A1:L5" tableType="queryTable" totalsRowShown="0">
  <autoFilter ref="A1:L5" xr:uid="{A71DDFBB-D9A5-4777-B88D-69DA10A51C5C}"/>
  <tableColumns count="12">
    <tableColumn id="1" xr3:uid="{7AC9D8C1-A83D-42EC-8C58-BCA031C04D33}" uniqueName="1" name="id" queryTableFieldId="1"/>
    <tableColumn id="2" xr3:uid="{790AFC5A-C161-4799-B8A5-639B8121DB12}" uniqueName="2" name="patient_id" queryTableFieldId="2"/>
    <tableColumn id="3" xr3:uid="{680D5764-9A47-4AAE-B067-1DD4132C4DCE}" uniqueName="3" name="service" queryTableFieldId="3" dataDxfId="6"/>
    <tableColumn id="4" xr3:uid="{CAAAB353-5C11-4BBC-BF73-4A83C17FD296}" uniqueName="4" name="total_due" queryTableFieldId="4"/>
    <tableColumn id="5" xr3:uid="{F9B2E712-CFF4-4A9D-92F5-92016D8EB825}" uniqueName="5" name="amount_given" queryTableFieldId="5"/>
    <tableColumn id="6" xr3:uid="{B1D87844-4687-415F-9C8E-B26F74A2958E}" uniqueName="6" name="change_amount" queryTableFieldId="6"/>
    <tableColumn id="7" xr3:uid="{A548916B-52E7-4709-A9E7-FC51D4ADAC19}" uniqueName="7" name="payment_type" queryTableFieldId="7" dataDxfId="5"/>
    <tableColumn id="8" xr3:uid="{C00D2DEB-9CA7-44A5-8007-15BAFCC6EFC9}" uniqueName="8" name="tx_datetime" queryTableFieldId="8" dataDxfId="4"/>
    <tableColumn id="9" xr3:uid="{E0AAB342-98D7-447A-8008-E8436D0FAE1E}" uniqueName="9" name="reference" queryTableFieldId="9" dataDxfId="3"/>
    <tableColumn id="10" xr3:uid="{03E13E69-98FD-42C0-BCBE-BDA63C07D06D}" uniqueName="10" name="note" queryTableFieldId="10" dataDxfId="2"/>
    <tableColumn id="11" xr3:uid="{0C2C87B7-5DB9-44C5-A02B-786EB298CE5C}" uniqueName="11" name="created_at" queryTableFieldId="11" dataDxfId="1"/>
    <tableColumn id="12" xr3:uid="{CAA30EE1-6AF5-4498-980F-F2B4A8A03ED2}" uniqueName="12" name="updated_at" queryTableFieldId="1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CD60D-B5B9-43A7-82B9-E816FB09B52E}" name="patients" displayName="patients" ref="A1:I4" tableType="queryTable" totalsRowShown="0">
  <autoFilter ref="A1:I4" xr:uid="{1E7CD60D-B5B9-43A7-82B9-E816FB09B52E}"/>
  <tableColumns count="9">
    <tableColumn id="1" xr3:uid="{4C38054C-7E20-44CA-9198-5444EBA371F3}" uniqueName="1" name="id" queryTableFieldId="1"/>
    <tableColumn id="2" xr3:uid="{68F362FA-F7E9-4B38-B08D-6B252415FF49}" uniqueName="2" name="name" queryTableFieldId="2" dataDxfId="14"/>
    <tableColumn id="3" xr3:uid="{50431208-52AF-40AE-A71C-8F9076A47E62}" uniqueName="3" name="email" queryTableFieldId="3" dataDxfId="13"/>
    <tableColumn id="4" xr3:uid="{F4C89DF0-EB1E-42D2-A79A-0123C7FF0A8C}" uniqueName="4" name="password" queryTableFieldId="4" dataDxfId="12"/>
    <tableColumn id="5" xr3:uid="{E4CF6AAC-2E4C-482E-85EE-0290FA8B2F4C}" uniqueName="5" name="address" queryTableFieldId="5" dataDxfId="11"/>
    <tableColumn id="6" xr3:uid="{C64C149D-CF1E-4D54-BD42-117EB6822B03}" uniqueName="6" name="city" queryTableFieldId="6" dataDxfId="10"/>
    <tableColumn id="7" xr3:uid="{649C8160-7959-43D0-B7D7-BAACB7EF27E7}" uniqueName="7" name="state" queryTableFieldId="7" dataDxfId="9"/>
    <tableColumn id="8" xr3:uid="{5E95205B-E471-4656-B1B6-550E90662DE6}" uniqueName="8" name="zip" queryTableFieldId="8" dataDxfId="8"/>
    <tableColumn id="9" xr3:uid="{24737161-910A-48F2-AAC0-18079698AEA0}" uniqueName="9" name="created_at" queryTableFieldId="9"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F251-59D7-4BC6-9846-55B9354BC824}">
  <dimension ref="A1:L5"/>
  <sheetViews>
    <sheetView workbookViewId="0">
      <selection activeCell="B1" sqref="B1"/>
    </sheetView>
  </sheetViews>
  <sheetFormatPr defaultRowHeight="15" x14ac:dyDescent="0.25"/>
  <cols>
    <col min="1" max="1" width="5" bestFit="1" customWidth="1"/>
    <col min="2" max="2" width="12.42578125" bestFit="1" customWidth="1"/>
    <col min="3" max="3" width="12.28515625" bestFit="1" customWidth="1"/>
    <col min="4" max="4" width="11.85546875" bestFit="1" customWidth="1"/>
    <col min="5" max="5" width="16.140625" bestFit="1" customWidth="1"/>
    <col min="6" max="6" width="17.5703125" bestFit="1" customWidth="1"/>
    <col min="7" max="7" width="16.28515625" bestFit="1" customWidth="1"/>
    <col min="8" max="8" width="15.85546875" bestFit="1" customWidth="1"/>
    <col min="9" max="9" width="25.5703125" bestFit="1" customWidth="1"/>
    <col min="10" max="10" width="7.42578125" bestFit="1" customWidth="1"/>
    <col min="11" max="11" width="15.85546875" bestFit="1" customWidth="1"/>
    <col min="12" max="12" width="13.42578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2</v>
      </c>
      <c r="C2" s="1" t="s">
        <v>12</v>
      </c>
      <c r="D2">
        <v>500</v>
      </c>
      <c r="E2">
        <v>1000</v>
      </c>
      <c r="F2">
        <v>500</v>
      </c>
      <c r="G2" s="1" t="s">
        <v>13</v>
      </c>
      <c r="H2" s="2">
        <v>46001.589583333334</v>
      </c>
      <c r="I2" s="1" t="s">
        <v>14</v>
      </c>
      <c r="J2" s="1" t="s">
        <v>15</v>
      </c>
      <c r="K2" s="2">
        <v>46001.883784722224</v>
      </c>
      <c r="L2" s="2"/>
    </row>
    <row r="3" spans="1:12" x14ac:dyDescent="0.25">
      <c r="A3">
        <v>2</v>
      </c>
      <c r="B3">
        <v>2</v>
      </c>
      <c r="C3" s="1" t="s">
        <v>16</v>
      </c>
      <c r="D3">
        <v>500</v>
      </c>
      <c r="E3">
        <v>500</v>
      </c>
      <c r="F3">
        <v>0</v>
      </c>
      <c r="G3" s="1" t="s">
        <v>17</v>
      </c>
      <c r="H3" s="2">
        <v>46001.591666666667</v>
      </c>
      <c r="I3" s="1" t="s">
        <v>18</v>
      </c>
      <c r="J3" s="1" t="s">
        <v>15</v>
      </c>
      <c r="K3" s="2">
        <v>46001.884467592594</v>
      </c>
      <c r="L3" s="2"/>
    </row>
    <row r="4" spans="1:12" x14ac:dyDescent="0.25">
      <c r="A4">
        <v>3</v>
      </c>
      <c r="B4">
        <v>2</v>
      </c>
      <c r="C4" s="1" t="s">
        <v>50</v>
      </c>
      <c r="D4">
        <v>2000</v>
      </c>
      <c r="E4">
        <v>2000</v>
      </c>
      <c r="F4">
        <v>0</v>
      </c>
      <c r="G4" s="1" t="s">
        <v>13</v>
      </c>
      <c r="H4" s="2">
        <v>45971.844444444447</v>
      </c>
      <c r="I4" s="1" t="s">
        <v>51</v>
      </c>
      <c r="J4" s="1" t="s">
        <v>15</v>
      </c>
      <c r="K4" s="2">
        <v>46001.904768518521</v>
      </c>
      <c r="L4" s="2"/>
    </row>
    <row r="5" spans="1:12" x14ac:dyDescent="0.25">
      <c r="A5">
        <v>4</v>
      </c>
      <c r="B5">
        <v>3</v>
      </c>
      <c r="C5" s="1" t="s">
        <v>16</v>
      </c>
      <c r="D5">
        <v>15000</v>
      </c>
      <c r="E5">
        <v>15000</v>
      </c>
      <c r="F5">
        <v>0</v>
      </c>
      <c r="G5" s="1" t="s">
        <v>17</v>
      </c>
      <c r="H5" s="2">
        <v>45940.741666666669</v>
      </c>
      <c r="I5" s="1" t="s">
        <v>53</v>
      </c>
      <c r="J5" s="1" t="s">
        <v>15</v>
      </c>
      <c r="K5" s="2">
        <v>46001.905868055554</v>
      </c>
      <c r="L5"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9E00-F862-4231-A4ED-F61346D59891}">
  <dimension ref="A1:I4"/>
  <sheetViews>
    <sheetView workbookViewId="0">
      <selection sqref="A1:I4"/>
    </sheetView>
  </sheetViews>
  <sheetFormatPr defaultRowHeight="15" x14ac:dyDescent="0.25"/>
  <cols>
    <col min="1" max="1" width="5" bestFit="1" customWidth="1"/>
    <col min="2" max="2" width="18.42578125" bestFit="1" customWidth="1"/>
    <col min="3" max="3" width="32.85546875" bestFit="1" customWidth="1"/>
    <col min="4" max="4" width="67" bestFit="1" customWidth="1"/>
    <col min="5" max="5" width="19.85546875" bestFit="1" customWidth="1"/>
    <col min="6" max="6" width="15" bestFit="1" customWidth="1"/>
    <col min="7" max="7" width="11" bestFit="1" customWidth="1"/>
    <col min="8" max="8" width="5.85546875" bestFit="1" customWidth="1"/>
    <col min="9" max="9" width="15.85546875" bestFit="1" customWidth="1"/>
  </cols>
  <sheetData>
    <row r="1" spans="1:9" x14ac:dyDescent="0.25">
      <c r="A1" t="s">
        <v>0</v>
      </c>
      <c r="B1" t="s">
        <v>19</v>
      </c>
      <c r="C1" t="s">
        <v>20</v>
      </c>
      <c r="D1" t="s">
        <v>21</v>
      </c>
      <c r="E1" t="s">
        <v>22</v>
      </c>
      <c r="F1" t="s">
        <v>23</v>
      </c>
      <c r="G1" t="s">
        <v>24</v>
      </c>
      <c r="H1" t="s">
        <v>25</v>
      </c>
      <c r="I1" t="s">
        <v>10</v>
      </c>
    </row>
    <row r="2" spans="1:9" x14ac:dyDescent="0.25">
      <c r="A2">
        <v>1</v>
      </c>
      <c r="B2" s="1" t="s">
        <v>26</v>
      </c>
      <c r="C2" s="1" t="s">
        <v>27</v>
      </c>
      <c r="D2" s="1" t="s">
        <v>28</v>
      </c>
      <c r="E2" s="1" t="s">
        <v>29</v>
      </c>
      <c r="F2" s="1" t="s">
        <v>30</v>
      </c>
      <c r="G2" s="1" t="s">
        <v>31</v>
      </c>
      <c r="H2" s="1" t="s">
        <v>32</v>
      </c>
      <c r="I2" s="2">
        <v>45995.47111111111</v>
      </c>
    </row>
    <row r="3" spans="1:9" x14ac:dyDescent="0.25">
      <c r="A3">
        <v>2</v>
      </c>
      <c r="B3" s="1" t="s">
        <v>33</v>
      </c>
      <c r="C3" s="1" t="s">
        <v>34</v>
      </c>
      <c r="D3" s="1" t="s">
        <v>35</v>
      </c>
      <c r="E3" s="1" t="s">
        <v>36</v>
      </c>
      <c r="F3" s="1" t="s">
        <v>37</v>
      </c>
      <c r="G3" s="1" t="s">
        <v>31</v>
      </c>
      <c r="H3" s="1" t="s">
        <v>32</v>
      </c>
      <c r="I3" s="2">
        <v>46000.407361111109</v>
      </c>
    </row>
    <row r="4" spans="1:9" x14ac:dyDescent="0.25">
      <c r="A4">
        <v>3</v>
      </c>
      <c r="B4" s="1" t="s">
        <v>38</v>
      </c>
      <c r="C4" s="1" t="s">
        <v>39</v>
      </c>
      <c r="D4" s="1" t="s">
        <v>40</v>
      </c>
      <c r="E4" s="1" t="s">
        <v>41</v>
      </c>
      <c r="F4" s="1" t="s">
        <v>30</v>
      </c>
      <c r="G4" s="1" t="s">
        <v>31</v>
      </c>
      <c r="H4" s="1" t="s">
        <v>32</v>
      </c>
      <c r="I4" s="2">
        <v>46000.703784722224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2D09-3F59-4D7B-BB75-3BCBCDF465D1}">
  <dimension ref="B1:I5"/>
  <sheetViews>
    <sheetView workbookViewId="0">
      <selection activeCell="B1" sqref="B1"/>
    </sheetView>
  </sheetViews>
  <sheetFormatPr defaultRowHeight="15" x14ac:dyDescent="0.25"/>
  <cols>
    <col min="2" max="2" width="12" bestFit="1" customWidth="1"/>
    <col min="3" max="3" width="11.42578125" bestFit="1" customWidth="1"/>
    <col min="5" max="5" width="19.7109375" bestFit="1" customWidth="1"/>
    <col min="6" max="6" width="6" bestFit="1" customWidth="1"/>
    <col min="8" max="8" width="12.28515625" bestFit="1" customWidth="1"/>
    <col min="9" max="9" width="12.140625" bestFit="1" customWidth="1"/>
  </cols>
  <sheetData>
    <row r="1" spans="2:9" x14ac:dyDescent="0.25">
      <c r="B1" s="3" t="s">
        <v>46</v>
      </c>
      <c r="C1" t="s">
        <v>45</v>
      </c>
      <c r="E1" s="3" t="s">
        <v>43</v>
      </c>
      <c r="F1" t="s">
        <v>44</v>
      </c>
      <c r="H1" s="3" t="s">
        <v>49</v>
      </c>
      <c r="I1" t="s">
        <v>48</v>
      </c>
    </row>
    <row r="2" spans="2:9" x14ac:dyDescent="0.25">
      <c r="B2" s="4">
        <v>2</v>
      </c>
      <c r="C2" s="1">
        <v>3000</v>
      </c>
      <c r="E2" s="4" t="s">
        <v>13</v>
      </c>
      <c r="F2" s="1">
        <v>2500</v>
      </c>
      <c r="H2" s="4" t="s">
        <v>47</v>
      </c>
      <c r="I2" s="1">
        <v>1000</v>
      </c>
    </row>
    <row r="3" spans="2:9" x14ac:dyDescent="0.25">
      <c r="B3" s="4">
        <v>3</v>
      </c>
      <c r="C3" s="1">
        <v>15000</v>
      </c>
      <c r="E3" s="4" t="s">
        <v>17</v>
      </c>
      <c r="F3" s="1">
        <v>15500</v>
      </c>
      <c r="H3" s="4" t="s">
        <v>54</v>
      </c>
      <c r="I3" s="1">
        <v>15000</v>
      </c>
    </row>
    <row r="4" spans="2:9" x14ac:dyDescent="0.25">
      <c r="B4" s="4" t="s">
        <v>42</v>
      </c>
      <c r="C4" s="1">
        <v>18000</v>
      </c>
      <c r="E4" s="4" t="s">
        <v>42</v>
      </c>
      <c r="F4" s="1">
        <v>18000</v>
      </c>
      <c r="H4" s="4" t="s">
        <v>52</v>
      </c>
      <c r="I4" s="1">
        <v>2000</v>
      </c>
    </row>
    <row r="5" spans="2:9" x14ac:dyDescent="0.25">
      <c r="H5" s="4" t="s">
        <v>42</v>
      </c>
      <c r="I5" s="1">
        <v>18000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7B880-9ED8-452A-AA1D-C93F652F0661}">
  <dimension ref="A1"/>
  <sheetViews>
    <sheetView showGridLines="0" tabSelected="1" zoomScale="85" zoomScaleNormal="85" workbookViewId="0">
      <selection activeCell="S7" sqref="S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063F47-FCAF-40E0-8B1D-CB71F3D7C4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dental_payments</vt:lpstr>
      <vt:lpstr>patients</vt:lpstr>
      <vt:lpstr>Pivot</vt:lpstr>
      <vt:lpstr>Graphical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louiz gonzales</dc:creator>
  <cp:lastModifiedBy>ivan louiz gonzales</cp:lastModifiedBy>
  <dcterms:created xsi:type="dcterms:W3CDTF">2025-12-10T13:17:24Z</dcterms:created>
  <dcterms:modified xsi:type="dcterms:W3CDTF">2025-12-10T13:48:09Z</dcterms:modified>
</cp:coreProperties>
</file>